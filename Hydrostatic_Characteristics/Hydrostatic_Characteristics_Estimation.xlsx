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cadata\SIMBAD\Calculs\Caracteristiques_navires\"/>
    </mc:Choice>
  </mc:AlternateContent>
  <bookViews>
    <workbookView xWindow="240" yWindow="108" windowWidth="19920" windowHeight="6336" activeTab="1"/>
  </bookViews>
  <sheets>
    <sheet name="NOTICE" sheetId="22" r:id="rId1"/>
    <sheet name="General" sheetId="6" r:id="rId2"/>
    <sheet name="Roll period - Inertia" sheetId="23" r:id="rId3"/>
  </sheets>
  <definedNames>
    <definedName name="MetaL1">#REF!</definedName>
    <definedName name="ML2L1">#REF!</definedName>
    <definedName name="XetaL1">#REF!</definedName>
    <definedName name="xL2L1">#REF!</definedName>
    <definedName name="YetaL1">#REF!</definedName>
    <definedName name="YL2L1">#REF!</definedName>
    <definedName name="_xlnm.Print_Area" localSheetId="1">General!$A$1:$I$55</definedName>
  </definedNames>
  <calcPr calcId="162913"/>
</workbook>
</file>

<file path=xl/calcChain.xml><?xml version="1.0" encoding="utf-8"?>
<calcChain xmlns="http://schemas.openxmlformats.org/spreadsheetml/2006/main">
  <c r="H36" i="23" l="1"/>
  <c r="H35" i="23"/>
  <c r="C10" i="23" l="1"/>
  <c r="C8" i="23"/>
  <c r="C9" i="23" s="1"/>
  <c r="C7" i="23"/>
  <c r="H34" i="23" s="1"/>
  <c r="C6" i="23"/>
  <c r="F26" i="6"/>
  <c r="H21" i="23" l="1"/>
  <c r="H28" i="23"/>
  <c r="H22" i="23"/>
  <c r="H29" i="23"/>
  <c r="C13" i="23"/>
  <c r="H16" i="23" s="1"/>
  <c r="H8" i="23"/>
  <c r="F21" i="6"/>
  <c r="C12" i="6"/>
  <c r="G48" i="6" s="1"/>
  <c r="H23" i="23" l="1"/>
  <c r="H30" i="23"/>
  <c r="H9" i="23"/>
  <c r="E42" i="6"/>
  <c r="D55" i="6" s="1"/>
  <c r="D53" i="6" l="1"/>
</calcChain>
</file>

<file path=xl/sharedStrings.xml><?xml version="1.0" encoding="utf-8"?>
<sst xmlns="http://schemas.openxmlformats.org/spreadsheetml/2006/main" count="58" uniqueCount="40">
  <si>
    <t>m</t>
  </si>
  <si>
    <t>C1is in the range of 0.5 to 2 depending on ship condition. C1=1 is a good mean value.</t>
  </si>
  <si>
    <t xml:space="preserve">with </t>
  </si>
  <si>
    <t>or</t>
  </si>
  <si>
    <t>Breadth (m) B:</t>
  </si>
  <si>
    <t>Full load draft (m):</t>
  </si>
  <si>
    <t>Estimation of GM</t>
  </si>
  <si>
    <t>Initial data</t>
  </si>
  <si>
    <t>Lpp (m)</t>
  </si>
  <si>
    <t>Estimation of GM and KG for loaded ships</t>
  </si>
  <si>
    <t>Displacement (m3):</t>
  </si>
  <si>
    <t>CB:</t>
  </si>
  <si>
    <t>C1=</t>
  </si>
  <si>
    <t>Type of ship:</t>
  </si>
  <si>
    <t>Other estimation of GM according to this table:</t>
  </si>
  <si>
    <t>Estimation of KG</t>
  </si>
  <si>
    <t>This estimation is based on the following publication:</t>
  </si>
  <si>
    <t>a) PIANC, 2014, " Harbour approach channels design guidelines", Report n°121, Maritime Navigation Commission</t>
  </si>
  <si>
    <t>Trirème</t>
  </si>
  <si>
    <t>JSRA:</t>
  </si>
  <si>
    <t>Parameter k:</t>
  </si>
  <si>
    <t>Roll period (s):</t>
  </si>
  <si>
    <t>Doyère (c=0.34):</t>
  </si>
  <si>
    <t>GMt (m):</t>
  </si>
  <si>
    <t>KM (m):</t>
  </si>
  <si>
    <t>Roll period</t>
  </si>
  <si>
    <t>KG (m):</t>
  </si>
  <si>
    <t>Freeboard (m):</t>
  </si>
  <si>
    <t>kxx (m):</t>
  </si>
  <si>
    <t>axx (m):</t>
  </si>
  <si>
    <t>Depth D (m):</t>
  </si>
  <si>
    <t>Full load draft T (m):</t>
  </si>
  <si>
    <t>ITTC, 2017</t>
  </si>
  <si>
    <t>Grin, 2016</t>
  </si>
  <si>
    <t>cfluid:</t>
  </si>
  <si>
    <t>b:</t>
  </si>
  <si>
    <t>Inertia</t>
  </si>
  <si>
    <t>kyy (m):</t>
  </si>
  <si>
    <t>kzz (m):</t>
  </si>
  <si>
    <r>
      <t>Roll period T</t>
    </r>
    <r>
      <rPr>
        <sz val="11"/>
        <color theme="1"/>
        <rFont val="GreekC"/>
      </rPr>
      <t>f 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</si>
</sst>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name val="Arial"/>
      <family val="2"/>
    </font>
    <font>
      <b/>
      <i/>
      <sz val="11"/>
      <name val="Arial"/>
      <family val="2"/>
    </font>
    <font>
      <b/>
      <sz val="10"/>
      <name val="Arial"/>
      <family val="2"/>
    </font>
    <font>
      <sz val="11"/>
      <color theme="1"/>
      <name val="GreekC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1"/>
      <name val="GreekC"/>
    </font>
    <font>
      <b/>
      <sz val="12"/>
      <color rgb="FF00B0F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7" fillId="0" borderId="0"/>
    <xf numFmtId="0" fontId="2" fillId="0" borderId="0"/>
  </cellStyleXfs>
  <cellXfs count="47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Fill="1" applyAlignment="1"/>
    <xf numFmtId="0" fontId="5" fillId="0" borderId="0" xfId="0" applyFont="1"/>
    <xf numFmtId="0" fontId="0" fillId="0" borderId="0" xfId="0" applyBorder="1"/>
    <xf numFmtId="0" fontId="0" fillId="0" borderId="0" xfId="0" applyAlignment="1">
      <alignment horizontal="center"/>
    </xf>
    <xf numFmtId="0" fontId="3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0" fillId="3" borderId="7" xfId="0" applyFont="1" applyFill="1" applyBorder="1" applyAlignment="1">
      <alignment horizontal="center"/>
    </xf>
    <xf numFmtId="0" fontId="0" fillId="3" borderId="6" xfId="0" applyFont="1" applyFill="1" applyBorder="1" applyAlignment="1">
      <alignment horizontal="center"/>
    </xf>
    <xf numFmtId="0" fontId="0" fillId="3" borderId="8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2" fontId="3" fillId="3" borderId="5" xfId="0" applyNumberFormat="1" applyFont="1" applyFill="1" applyBorder="1" applyAlignment="1">
      <alignment horizontal="center"/>
    </xf>
    <xf numFmtId="164" fontId="0" fillId="2" borderId="1" xfId="0" applyNumberFormat="1" applyFill="1" applyBorder="1" applyAlignment="1" applyProtection="1">
      <alignment horizontal="center"/>
      <protection locked="0"/>
    </xf>
    <xf numFmtId="0" fontId="0" fillId="2" borderId="9" xfId="0" applyFont="1" applyFill="1" applyBorder="1" applyAlignment="1" applyProtection="1">
      <alignment horizontal="center"/>
      <protection locked="0"/>
    </xf>
    <xf numFmtId="0" fontId="0" fillId="2" borderId="10" xfId="0" applyFont="1" applyFill="1" applyBorder="1" applyAlignment="1" applyProtection="1">
      <alignment horizontal="center"/>
      <protection locked="0"/>
    </xf>
    <xf numFmtId="2" fontId="0" fillId="2" borderId="11" xfId="0" applyNumberFormat="1" applyFont="1" applyFill="1" applyBorder="1" applyAlignment="1" applyProtection="1">
      <alignment horizontal="center"/>
      <protection locked="0"/>
    </xf>
    <xf numFmtId="0" fontId="9" fillId="0" borderId="0" xfId="1" applyFont="1"/>
    <xf numFmtId="0" fontId="7" fillId="0" borderId="0" xfId="1"/>
    <xf numFmtId="0" fontId="10" fillId="0" borderId="0" xfId="1" quotePrefix="1" applyFont="1"/>
    <xf numFmtId="0" fontId="2" fillId="0" borderId="0" xfId="2"/>
    <xf numFmtId="0" fontId="13" fillId="3" borderId="9" xfId="0" applyFont="1" applyFill="1" applyBorder="1" applyAlignment="1">
      <alignment horizontal="center"/>
    </xf>
    <xf numFmtId="0" fontId="13" fillId="3" borderId="10" xfId="0" applyFont="1" applyFill="1" applyBorder="1" applyAlignment="1">
      <alignment horizontal="center"/>
    </xf>
    <xf numFmtId="0" fontId="13" fillId="3" borderId="11" xfId="0" applyFont="1" applyFill="1" applyBorder="1" applyAlignment="1">
      <alignment horizontal="center"/>
    </xf>
    <xf numFmtId="0" fontId="12" fillId="2" borderId="10" xfId="0" applyFont="1" applyFill="1" applyBorder="1" applyAlignment="1" applyProtection="1">
      <alignment horizontal="center"/>
      <protection locked="0"/>
    </xf>
    <xf numFmtId="2" fontId="12" fillId="2" borderId="11" xfId="0" applyNumberFormat="1" applyFont="1" applyFill="1" applyBorder="1" applyAlignment="1" applyProtection="1">
      <alignment horizontal="center"/>
      <protection locked="0"/>
    </xf>
    <xf numFmtId="2" fontId="12" fillId="2" borderId="10" xfId="0" applyNumberFormat="1" applyFont="1" applyFill="1" applyBorder="1" applyAlignment="1" applyProtection="1">
      <alignment horizontal="center"/>
      <protection locked="0"/>
    </xf>
    <xf numFmtId="0" fontId="13" fillId="3" borderId="12" xfId="0" applyFont="1" applyFill="1" applyBorder="1" applyAlignment="1">
      <alignment horizontal="center"/>
    </xf>
    <xf numFmtId="2" fontId="12" fillId="2" borderId="12" xfId="0" applyNumberFormat="1" applyFont="1" applyFill="1" applyBorder="1" applyAlignment="1" applyProtection="1">
      <alignment horizontal="center"/>
      <protection locked="0"/>
    </xf>
    <xf numFmtId="0" fontId="12" fillId="2" borderId="12" xfId="0" applyFont="1" applyFill="1" applyBorder="1" applyAlignment="1" applyProtection="1">
      <alignment horizontal="center"/>
      <protection locked="0"/>
    </xf>
    <xf numFmtId="0" fontId="13" fillId="3" borderId="6" xfId="0" applyFont="1" applyFill="1" applyBorder="1" applyAlignment="1">
      <alignment horizontal="center"/>
    </xf>
    <xf numFmtId="0" fontId="14" fillId="3" borderId="10" xfId="0" applyFont="1" applyFill="1" applyBorder="1" applyAlignment="1">
      <alignment horizontal="center"/>
    </xf>
    <xf numFmtId="2" fontId="15" fillId="3" borderId="5" xfId="0" applyNumberFormat="1" applyFont="1" applyFill="1" applyBorder="1" applyAlignment="1">
      <alignment horizontal="center"/>
    </xf>
    <xf numFmtId="0" fontId="10" fillId="0" borderId="0" xfId="0" applyFont="1" applyAlignment="1">
      <alignment horizontal="left"/>
    </xf>
    <xf numFmtId="0" fontId="10" fillId="0" borderId="0" xfId="0" applyFont="1"/>
    <xf numFmtId="0" fontId="1" fillId="0" borderId="0" xfId="0" applyFont="1"/>
    <xf numFmtId="0" fontId="8" fillId="4" borderId="2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2" fillId="0" borderId="0" xfId="0" applyFont="1" applyBorder="1" applyAlignment="1">
      <alignment horizontal="left" wrapText="1"/>
    </xf>
    <xf numFmtId="0" fontId="1" fillId="4" borderId="2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colors>
    <mruColors>
      <color rgb="FFFFFFCC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6" Type="http://schemas.openxmlformats.org/officeDocument/2006/relationships/image" Target="../media/image16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180975</xdr:colOff>
      <xdr:row>31</xdr:row>
      <xdr:rowOff>41275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898255" cy="45294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15</xdr:row>
      <xdr:rowOff>120015</xdr:rowOff>
    </xdr:from>
    <xdr:to>
      <xdr:col>2</xdr:col>
      <xdr:colOff>266700</xdr:colOff>
      <xdr:row>20</xdr:row>
      <xdr:rowOff>106680</xdr:rowOff>
    </xdr:to>
    <xdr:pic>
      <xdr:nvPicPr>
        <xdr:cNvPr id="6" name="Image 20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642235"/>
          <a:ext cx="1432560" cy="954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365760</xdr:colOff>
      <xdr:row>23</xdr:row>
      <xdr:rowOff>19754</xdr:rowOff>
    </xdr:from>
    <xdr:to>
      <xdr:col>3</xdr:col>
      <xdr:colOff>708660</xdr:colOff>
      <xdr:row>35</xdr:row>
      <xdr:rowOff>125729</xdr:rowOff>
    </xdr:to>
    <xdr:pic>
      <xdr:nvPicPr>
        <xdr:cNvPr id="8" name="Image 2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" y="4248854"/>
          <a:ext cx="3268980" cy="231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161925</xdr:colOff>
      <xdr:row>23</xdr:row>
      <xdr:rowOff>179070</xdr:rowOff>
    </xdr:from>
    <xdr:to>
      <xdr:col>4</xdr:col>
      <xdr:colOff>695325</xdr:colOff>
      <xdr:row>25</xdr:row>
      <xdr:rowOff>171450</xdr:rowOff>
    </xdr:to>
    <xdr:pic>
      <xdr:nvPicPr>
        <xdr:cNvPr id="9" name="Image 31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0485" y="4408170"/>
          <a:ext cx="53340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114300</xdr:colOff>
      <xdr:row>19</xdr:row>
      <xdr:rowOff>0</xdr:rowOff>
    </xdr:from>
    <xdr:to>
      <xdr:col>4</xdr:col>
      <xdr:colOff>647700</xdr:colOff>
      <xdr:row>20</xdr:row>
      <xdr:rowOff>175260</xdr:rowOff>
    </xdr:to>
    <xdr:pic>
      <xdr:nvPicPr>
        <xdr:cNvPr id="10" name="Image 31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2860" y="3497580"/>
          <a:ext cx="53340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</xdr:colOff>
      <xdr:row>39</xdr:row>
      <xdr:rowOff>30480</xdr:rowOff>
    </xdr:from>
    <xdr:to>
      <xdr:col>3</xdr:col>
      <xdr:colOff>483870</xdr:colOff>
      <xdr:row>43</xdr:row>
      <xdr:rowOff>7620</xdr:rowOff>
    </xdr:to>
    <xdr:pic>
      <xdr:nvPicPr>
        <xdr:cNvPr id="12" name="Image 37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7231380"/>
          <a:ext cx="260985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38</xdr:row>
      <xdr:rowOff>38100</xdr:rowOff>
    </xdr:from>
    <xdr:to>
      <xdr:col>6</xdr:col>
      <xdr:colOff>560070</xdr:colOff>
      <xdr:row>39</xdr:row>
      <xdr:rowOff>66675</xdr:rowOff>
    </xdr:to>
    <xdr:pic>
      <xdr:nvPicPr>
        <xdr:cNvPr id="13" name="Image 42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7648575"/>
          <a:ext cx="489394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5</xdr:col>
      <xdr:colOff>310515</xdr:colOff>
      <xdr:row>49</xdr:row>
      <xdr:rowOff>24765</xdr:rowOff>
    </xdr:to>
    <xdr:pic>
      <xdr:nvPicPr>
        <xdr:cNvPr id="15" name="Image 38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8298180"/>
          <a:ext cx="402907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43</xdr:row>
      <xdr:rowOff>133350</xdr:rowOff>
    </xdr:from>
    <xdr:to>
      <xdr:col>7</xdr:col>
      <xdr:colOff>17145</xdr:colOff>
      <xdr:row>44</xdr:row>
      <xdr:rowOff>171450</xdr:rowOff>
    </xdr:to>
    <xdr:pic>
      <xdr:nvPicPr>
        <xdr:cNvPr id="17" name="Image 43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8715375"/>
          <a:ext cx="510349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15240</xdr:colOff>
      <xdr:row>51</xdr:row>
      <xdr:rowOff>68580</xdr:rowOff>
    </xdr:from>
    <xdr:to>
      <xdr:col>2</xdr:col>
      <xdr:colOff>815340</xdr:colOff>
      <xdr:row>53</xdr:row>
      <xdr:rowOff>49530</xdr:rowOff>
    </xdr:to>
    <xdr:pic>
      <xdr:nvPicPr>
        <xdr:cNvPr id="19" name="Image 39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720" y="9464040"/>
          <a:ext cx="200406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57316</xdr:colOff>
      <xdr:row>49</xdr:row>
      <xdr:rowOff>127635</xdr:rowOff>
    </xdr:from>
    <xdr:to>
      <xdr:col>6</xdr:col>
      <xdr:colOff>550545</xdr:colOff>
      <xdr:row>51</xdr:row>
      <xdr:rowOff>778</xdr:rowOff>
    </xdr:to>
    <xdr:pic>
      <xdr:nvPicPr>
        <xdr:cNvPr id="20" name="Image 41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316" y="9871710"/>
          <a:ext cx="4855679" cy="251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600808</xdr:colOff>
      <xdr:row>0</xdr:row>
      <xdr:rowOff>137162</xdr:rowOff>
    </xdr:from>
    <xdr:to>
      <xdr:col>9</xdr:col>
      <xdr:colOff>586155</xdr:colOff>
      <xdr:row>5</xdr:row>
      <xdr:rowOff>18135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48808" y="2423162"/>
          <a:ext cx="3363058" cy="877435"/>
        </a:xfrm>
        <a:prstGeom prst="rect">
          <a:avLst/>
        </a:prstGeom>
      </xdr:spPr>
    </xdr:pic>
    <xdr:clientData/>
  </xdr:twoCellAnchor>
  <xdr:twoCellAnchor editAs="oneCell">
    <xdr:from>
      <xdr:col>3</xdr:col>
      <xdr:colOff>754673</xdr:colOff>
      <xdr:row>7</xdr:row>
      <xdr:rowOff>7326</xdr:rowOff>
    </xdr:from>
    <xdr:to>
      <xdr:col>5</xdr:col>
      <xdr:colOff>341514</xdr:colOff>
      <xdr:row>10</xdr:row>
      <xdr:rowOff>83995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0673" y="1399441"/>
          <a:ext cx="1110841" cy="65549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531124</xdr:colOff>
      <xdr:row>18</xdr:row>
      <xdr:rowOff>0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8000" y="2945423"/>
          <a:ext cx="1293124" cy="578827"/>
        </a:xfrm>
        <a:prstGeom prst="rect">
          <a:avLst/>
        </a:prstGeom>
      </xdr:spPr>
    </xdr:pic>
    <xdr:clientData/>
  </xdr:twoCellAnchor>
  <xdr:twoCellAnchor editAs="oneCell">
    <xdr:from>
      <xdr:col>8</xdr:col>
      <xdr:colOff>219807</xdr:colOff>
      <xdr:row>17</xdr:row>
      <xdr:rowOff>183681</xdr:rowOff>
    </xdr:from>
    <xdr:to>
      <xdr:col>13</xdr:col>
      <xdr:colOff>210768</xdr:colOff>
      <xdr:row>21</xdr:row>
      <xdr:rowOff>62843</xdr:rowOff>
    </xdr:to>
    <xdr:pic>
      <xdr:nvPicPr>
        <xdr:cNvPr id="6" name="Imag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33442" y="3517431"/>
          <a:ext cx="3800961" cy="655816"/>
        </a:xfrm>
        <a:prstGeom prst="rect">
          <a:avLst/>
        </a:prstGeom>
      </xdr:spPr>
    </xdr:pic>
    <xdr:clientData/>
  </xdr:twoCellAnchor>
  <xdr:twoCellAnchor editAs="oneCell">
    <xdr:from>
      <xdr:col>8</xdr:col>
      <xdr:colOff>249115</xdr:colOff>
      <xdr:row>20</xdr:row>
      <xdr:rowOff>124705</xdr:rowOff>
    </xdr:from>
    <xdr:to>
      <xdr:col>9</xdr:col>
      <xdr:colOff>469421</xdr:colOff>
      <xdr:row>22</xdr:row>
      <xdr:rowOff>162556</xdr:rowOff>
    </xdr:to>
    <xdr:pic>
      <xdr:nvPicPr>
        <xdr:cNvPr id="7" name="Image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62750" y="4044609"/>
          <a:ext cx="982306" cy="418851"/>
        </a:xfrm>
        <a:prstGeom prst="rect">
          <a:avLst/>
        </a:prstGeom>
      </xdr:spPr>
    </xdr:pic>
    <xdr:clientData/>
  </xdr:twoCellAnchor>
  <xdr:twoCellAnchor editAs="oneCell">
    <xdr:from>
      <xdr:col>8</xdr:col>
      <xdr:colOff>227134</xdr:colOff>
      <xdr:row>23</xdr:row>
      <xdr:rowOff>84677</xdr:rowOff>
    </xdr:from>
    <xdr:to>
      <xdr:col>12</xdr:col>
      <xdr:colOff>432289</xdr:colOff>
      <xdr:row>27</xdr:row>
      <xdr:rowOff>6384</xdr:rowOff>
    </xdr:to>
    <xdr:pic>
      <xdr:nvPicPr>
        <xdr:cNvPr id="9" name="Image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50672" y="4583408"/>
          <a:ext cx="3253155" cy="720341"/>
        </a:xfrm>
        <a:prstGeom prst="rect">
          <a:avLst/>
        </a:prstGeom>
      </xdr:spPr>
    </xdr:pic>
    <xdr:clientData/>
  </xdr:twoCellAnchor>
  <xdr:twoCellAnchor editAs="oneCell">
    <xdr:from>
      <xdr:col>8</xdr:col>
      <xdr:colOff>307731</xdr:colOff>
      <xdr:row>26</xdr:row>
      <xdr:rowOff>131885</xdr:rowOff>
    </xdr:from>
    <xdr:to>
      <xdr:col>9</xdr:col>
      <xdr:colOff>528037</xdr:colOff>
      <xdr:row>28</xdr:row>
      <xdr:rowOff>147756</xdr:rowOff>
    </xdr:to>
    <xdr:pic>
      <xdr:nvPicPr>
        <xdr:cNvPr id="10" name="Image 9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31269" y="5216770"/>
          <a:ext cx="982306" cy="4188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80" zoomScaleNormal="80" workbookViewId="0">
      <selection activeCell="P31" sqref="P31"/>
    </sheetView>
  </sheetViews>
  <sheetFormatPr baseColWidth="10" defaultColWidth="11.5546875" defaultRowHeight="11.4" x14ac:dyDescent="0.2"/>
  <cols>
    <col min="1" max="16384" width="11.5546875" style="21"/>
  </cols>
  <sheetData/>
  <sheetProtection sheet="1" objects="1" scenario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abSelected="1" topLeftCell="A28" zoomScale="95" zoomScaleNormal="95" zoomScaleSheetLayoutView="84" workbookViewId="0">
      <selection activeCell="J23" sqref="J23"/>
    </sheetView>
  </sheetViews>
  <sheetFormatPr baseColWidth="10" defaultRowHeight="14.4" x14ac:dyDescent="0.3"/>
  <cols>
    <col min="2" max="2" width="17.5546875" customWidth="1"/>
    <col min="3" max="3" width="13.5546875" bestFit="1" customWidth="1"/>
  </cols>
  <sheetData>
    <row r="1" spans="1:7" s="19" customFormat="1" x14ac:dyDescent="0.3">
      <c r="A1" s="18" t="s">
        <v>16</v>
      </c>
    </row>
    <row r="2" spans="1:7" s="19" customFormat="1" x14ac:dyDescent="0.3">
      <c r="A2" s="20" t="s">
        <v>17</v>
      </c>
    </row>
    <row r="3" spans="1:7" ht="15" thickBot="1" x14ac:dyDescent="0.35"/>
    <row r="4" spans="1:7" ht="23.4" thickBot="1" x14ac:dyDescent="0.45">
      <c r="A4" s="37" t="s">
        <v>9</v>
      </c>
      <c r="B4" s="38"/>
      <c r="C4" s="38"/>
      <c r="D4" s="38"/>
      <c r="E4" s="38"/>
      <c r="F4" s="38"/>
      <c r="G4" s="39"/>
    </row>
    <row r="5" spans="1:7" ht="15" thickBot="1" x14ac:dyDescent="0.35"/>
    <row r="6" spans="1:7" ht="15" thickBot="1" x14ac:dyDescent="0.35">
      <c r="B6" s="41" t="s">
        <v>7</v>
      </c>
      <c r="C6" s="42"/>
    </row>
    <row r="7" spans="1:7" x14ac:dyDescent="0.3">
      <c r="B7" s="9" t="s">
        <v>13</v>
      </c>
      <c r="C7" s="15" t="s">
        <v>18</v>
      </c>
    </row>
    <row r="8" spans="1:7" x14ac:dyDescent="0.3">
      <c r="B8" s="10" t="s">
        <v>8</v>
      </c>
      <c r="C8" s="16">
        <v>35.5</v>
      </c>
    </row>
    <row r="9" spans="1:7" x14ac:dyDescent="0.3">
      <c r="B9" s="10" t="s">
        <v>4</v>
      </c>
      <c r="C9" s="16">
        <v>5.5</v>
      </c>
    </row>
    <row r="10" spans="1:7" x14ac:dyDescent="0.3">
      <c r="B10" s="10" t="s">
        <v>5</v>
      </c>
      <c r="C10" s="16">
        <v>1.25</v>
      </c>
    </row>
    <row r="11" spans="1:7" x14ac:dyDescent="0.3">
      <c r="B11" s="10" t="s">
        <v>10</v>
      </c>
      <c r="C11" s="16">
        <v>108.1</v>
      </c>
    </row>
    <row r="12" spans="1:7" ht="15" thickBot="1" x14ac:dyDescent="0.35">
      <c r="B12" s="11" t="s">
        <v>11</v>
      </c>
      <c r="C12" s="17">
        <f>C11/(C8*C9*C10)</f>
        <v>0.44291933418693979</v>
      </c>
    </row>
    <row r="13" spans="1:7" ht="15" thickBot="1" x14ac:dyDescent="0.35"/>
    <row r="14" spans="1:7" ht="18.600000000000001" thickBot="1" x14ac:dyDescent="0.4">
      <c r="B14" s="43" t="s">
        <v>6</v>
      </c>
      <c r="C14" s="44"/>
      <c r="D14" s="44"/>
      <c r="E14" s="44"/>
      <c r="F14" s="44"/>
      <c r="G14" s="45"/>
    </row>
    <row r="16" spans="1:7" x14ac:dyDescent="0.3">
      <c r="D16" s="40" t="s">
        <v>1</v>
      </c>
      <c r="E16" s="40"/>
      <c r="F16" s="40"/>
      <c r="G16" s="40"/>
    </row>
    <row r="17" spans="2:7" x14ac:dyDescent="0.3">
      <c r="D17" s="40"/>
      <c r="E17" s="40"/>
      <c r="F17" s="40"/>
      <c r="G17" s="40"/>
    </row>
    <row r="19" spans="2:7" ht="18" x14ac:dyDescent="0.35">
      <c r="D19" s="7" t="s">
        <v>2</v>
      </c>
      <c r="E19" s="8" t="s">
        <v>12</v>
      </c>
      <c r="F19" s="14">
        <v>2</v>
      </c>
    </row>
    <row r="20" spans="2:7" ht="15" thickBot="1" x14ac:dyDescent="0.35">
      <c r="D20" s="5"/>
      <c r="E20" s="5"/>
      <c r="F20" s="5"/>
    </row>
    <row r="21" spans="2:7" ht="15" thickBot="1" x14ac:dyDescent="0.35">
      <c r="D21" s="5"/>
      <c r="F21" s="13">
        <f>F19*C9/25</f>
        <v>0.44</v>
      </c>
      <c r="G21" s="36" t="s">
        <v>0</v>
      </c>
    </row>
    <row r="23" spans="2:7" x14ac:dyDescent="0.3">
      <c r="B23" t="s">
        <v>14</v>
      </c>
      <c r="G23" s="2"/>
    </row>
    <row r="25" spans="2:7" ht="15" thickBot="1" x14ac:dyDescent="0.35"/>
    <row r="26" spans="2:7" ht="15" thickBot="1" x14ac:dyDescent="0.35">
      <c r="E26" s="1"/>
      <c r="F26" s="12">
        <f>0.3*C10</f>
        <v>0.375</v>
      </c>
      <c r="G26" s="34" t="s">
        <v>0</v>
      </c>
    </row>
    <row r="28" spans="2:7" x14ac:dyDescent="0.3">
      <c r="D28" s="3"/>
      <c r="E28" s="3"/>
      <c r="F28" s="3"/>
    </row>
    <row r="29" spans="2:7" x14ac:dyDescent="0.3">
      <c r="D29" s="4"/>
      <c r="E29" s="4"/>
      <c r="F29" s="4"/>
    </row>
    <row r="37" spans="2:8" ht="15" thickBot="1" x14ac:dyDescent="0.35"/>
    <row r="38" spans="2:8" ht="18.600000000000001" thickBot="1" x14ac:dyDescent="0.4">
      <c r="B38" s="43" t="s">
        <v>15</v>
      </c>
      <c r="C38" s="44"/>
      <c r="D38" s="44"/>
      <c r="E38" s="44"/>
      <c r="F38" s="44"/>
      <c r="G38" s="45"/>
    </row>
    <row r="41" spans="2:8" ht="15" thickBot="1" x14ac:dyDescent="0.35"/>
    <row r="42" spans="2:8" ht="15" thickBot="1" x14ac:dyDescent="0.35">
      <c r="E42" s="13">
        <f>C10*(0.84-(0.33*C12/(0.18+0.87*C12)))</f>
        <v>0.72682406466236527</v>
      </c>
      <c r="F42" s="34" t="s">
        <v>0</v>
      </c>
    </row>
    <row r="47" spans="2:8" ht="15" thickBot="1" x14ac:dyDescent="0.35"/>
    <row r="48" spans="2:8" ht="15" thickBot="1" x14ac:dyDescent="0.35">
      <c r="G48" s="13">
        <f>C9^2/(20.4*C12*C10)</f>
        <v>2.6783082566976839</v>
      </c>
      <c r="H48" s="34" t="s">
        <v>0</v>
      </c>
    </row>
    <row r="52" spans="4:5" ht="15" thickBot="1" x14ac:dyDescent="0.35"/>
    <row r="53" spans="4:5" ht="16.2" thickBot="1" x14ac:dyDescent="0.35">
      <c r="D53" s="33">
        <f>E42-F21+G48</f>
        <v>2.9651323213600493</v>
      </c>
      <c r="E53" s="35" t="s">
        <v>0</v>
      </c>
    </row>
    <row r="54" spans="4:5" ht="15" thickBot="1" x14ac:dyDescent="0.35">
      <c r="D54" s="6" t="s">
        <v>3</v>
      </c>
      <c r="E54" s="36"/>
    </row>
    <row r="55" spans="4:5" ht="16.2" thickBot="1" x14ac:dyDescent="0.35">
      <c r="D55" s="33">
        <f>E42-F26+G48</f>
        <v>3.0301323213600493</v>
      </c>
      <c r="E55" s="35" t="s">
        <v>0</v>
      </c>
    </row>
  </sheetData>
  <sheetProtection sheet="1" objects="1" scenarios="1"/>
  <mergeCells count="5">
    <mergeCell ref="A4:G4"/>
    <mergeCell ref="D16:G17"/>
    <mergeCell ref="B6:C6"/>
    <mergeCell ref="B14:G14"/>
    <mergeCell ref="B38:G38"/>
  </mergeCells>
  <pageMargins left="0.7" right="0.7" top="0.75" bottom="0.75" header="0.3" footer="0.3"/>
  <pageSetup paperSize="9" scale="4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H36"/>
  <sheetViews>
    <sheetView zoomScale="130" zoomScaleNormal="130" workbookViewId="0">
      <selection activeCell="B19" sqref="B19"/>
    </sheetView>
  </sheetViews>
  <sheetFormatPr baseColWidth="10" defaultRowHeight="14.4" x14ac:dyDescent="0.3"/>
  <cols>
    <col min="2" max="2" width="14.44140625" customWidth="1"/>
    <col min="6" max="6" width="12.109375" customWidth="1"/>
    <col min="7" max="7" width="15.5546875" customWidth="1"/>
  </cols>
  <sheetData>
    <row r="4" spans="2:8" ht="18" customHeight="1" thickBot="1" x14ac:dyDescent="0.5">
      <c r="D4" s="46" t="s">
        <v>39</v>
      </c>
      <c r="E4" s="46"/>
      <c r="F4" s="46"/>
    </row>
    <row r="5" spans="2:8" ht="15" thickBot="1" x14ac:dyDescent="0.35">
      <c r="B5" s="41" t="s">
        <v>7</v>
      </c>
      <c r="C5" s="42"/>
    </row>
    <row r="6" spans="2:8" ht="15" thickBot="1" x14ac:dyDescent="0.35">
      <c r="B6" s="22" t="s">
        <v>13</v>
      </c>
      <c r="C6" s="15" t="str">
        <f>General!C7</f>
        <v>Trirème</v>
      </c>
    </row>
    <row r="7" spans="2:8" ht="15" thickBot="1" x14ac:dyDescent="0.35">
      <c r="B7" s="23" t="s">
        <v>4</v>
      </c>
      <c r="C7" s="25">
        <f>General!C9</f>
        <v>5.5</v>
      </c>
      <c r="E7" t="s">
        <v>19</v>
      </c>
      <c r="G7" s="41" t="s">
        <v>25</v>
      </c>
      <c r="H7" s="42"/>
    </row>
    <row r="8" spans="2:8" x14ac:dyDescent="0.3">
      <c r="B8" s="23" t="s">
        <v>27</v>
      </c>
      <c r="C8" s="25">
        <f>2.75-General!C10</f>
        <v>1.5</v>
      </c>
      <c r="G8" s="23" t="s">
        <v>20</v>
      </c>
      <c r="H8" s="25">
        <f>0.3437+0.024*C7/C9</f>
        <v>0.39169999999999999</v>
      </c>
    </row>
    <row r="9" spans="2:8" ht="15" thickBot="1" x14ac:dyDescent="0.35">
      <c r="B9" s="23" t="s">
        <v>30</v>
      </c>
      <c r="C9" s="25">
        <f>C8+General!C10</f>
        <v>2.75</v>
      </c>
      <c r="G9" s="24" t="s">
        <v>21</v>
      </c>
      <c r="H9" s="26">
        <f>2*H8*C7/SQRT(C13)</f>
        <v>4.9752582097146814</v>
      </c>
    </row>
    <row r="10" spans="2:8" x14ac:dyDescent="0.3">
      <c r="B10" s="31" t="s">
        <v>31</v>
      </c>
      <c r="C10" s="16">
        <f>General!C10</f>
        <v>1.25</v>
      </c>
    </row>
    <row r="11" spans="2:8" x14ac:dyDescent="0.3">
      <c r="B11" s="23" t="s">
        <v>24</v>
      </c>
      <c r="C11" s="27">
        <v>3.75</v>
      </c>
    </row>
    <row r="12" spans="2:8" x14ac:dyDescent="0.3">
      <c r="B12" s="28" t="s">
        <v>26</v>
      </c>
      <c r="C12" s="29">
        <v>3</v>
      </c>
    </row>
    <row r="13" spans="2:8" ht="15" thickBot="1" x14ac:dyDescent="0.35">
      <c r="B13" s="24" t="s">
        <v>23</v>
      </c>
      <c r="C13" s="26">
        <f>C11-C12</f>
        <v>0.75</v>
      </c>
    </row>
    <row r="14" spans="2:8" ht="15" thickBot="1" x14ac:dyDescent="0.35"/>
    <row r="15" spans="2:8" ht="15" thickBot="1" x14ac:dyDescent="0.35">
      <c r="E15" t="s">
        <v>22</v>
      </c>
      <c r="G15" s="41" t="s">
        <v>25</v>
      </c>
      <c r="H15" s="42"/>
    </row>
    <row r="16" spans="2:8" ht="15" thickBot="1" x14ac:dyDescent="0.35">
      <c r="G16" s="24" t="s">
        <v>21</v>
      </c>
      <c r="H16" s="26">
        <f>0.34*SQRT((C7^2+4*C12^2)/C13)</f>
        <v>3.1955176941042489</v>
      </c>
    </row>
    <row r="19" spans="5:8" ht="15" thickBot="1" x14ac:dyDescent="0.35"/>
    <row r="20" spans="5:8" ht="15" thickBot="1" x14ac:dyDescent="0.35">
      <c r="E20" t="s">
        <v>32</v>
      </c>
      <c r="G20" s="41" t="s">
        <v>25</v>
      </c>
      <c r="H20" s="42"/>
    </row>
    <row r="21" spans="5:8" x14ac:dyDescent="0.3">
      <c r="G21" s="23" t="s">
        <v>28</v>
      </c>
      <c r="H21" s="27">
        <f>SQRT((0.4*(C7+C9)^2+0.6*(C7^2+C9^2)-(2*C10-C9/2-C12)^2)/12)</f>
        <v>1.9663179422463704</v>
      </c>
    </row>
    <row r="22" spans="5:8" x14ac:dyDescent="0.3">
      <c r="G22" s="28" t="s">
        <v>29</v>
      </c>
      <c r="H22" s="30">
        <f>0.05*C7^2/C10</f>
        <v>1.2100000000000002</v>
      </c>
    </row>
    <row r="23" spans="5:8" ht="15" thickBot="1" x14ac:dyDescent="0.35">
      <c r="G23" s="24" t="s">
        <v>21</v>
      </c>
      <c r="H23" s="26">
        <f>2*PI()*SQRT((H21^2+H22^2)/9.81/C13)</f>
        <v>5.3480931312021731</v>
      </c>
    </row>
    <row r="24" spans="5:8" ht="15" thickBot="1" x14ac:dyDescent="0.35"/>
    <row r="25" spans="5:8" ht="15" thickBot="1" x14ac:dyDescent="0.35">
      <c r="E25" t="s">
        <v>33</v>
      </c>
      <c r="G25" s="41" t="s">
        <v>25</v>
      </c>
      <c r="H25" s="42"/>
    </row>
    <row r="26" spans="5:8" x14ac:dyDescent="0.3">
      <c r="G26" s="23" t="s">
        <v>34</v>
      </c>
      <c r="H26" s="27">
        <v>1</v>
      </c>
    </row>
    <row r="27" spans="5:8" ht="15" x14ac:dyDescent="0.35">
      <c r="G27" s="32" t="s">
        <v>35</v>
      </c>
      <c r="H27" s="27">
        <v>14.7</v>
      </c>
    </row>
    <row r="28" spans="5:8" x14ac:dyDescent="0.3">
      <c r="G28" s="23" t="s">
        <v>28</v>
      </c>
      <c r="H28" s="27">
        <f>SQRT((C7^2+C9^2)/H27+(C9/2-C12)^2)</f>
        <v>2.2831784668668864</v>
      </c>
    </row>
    <row r="29" spans="5:8" x14ac:dyDescent="0.3">
      <c r="G29" s="28" t="s">
        <v>29</v>
      </c>
      <c r="H29" s="30">
        <f>0.05*C7^2/C10</f>
        <v>1.2100000000000002</v>
      </c>
    </row>
    <row r="30" spans="5:8" ht="15" thickBot="1" x14ac:dyDescent="0.35">
      <c r="G30" s="24" t="s">
        <v>21</v>
      </c>
      <c r="H30" s="26">
        <f>2*PI()*SQRT((H28^2+H29^2)/9.81/C13)</f>
        <v>5.9855704706298027</v>
      </c>
    </row>
    <row r="32" spans="5:8" ht="15" thickBot="1" x14ac:dyDescent="0.35"/>
    <row r="33" spans="5:8" ht="15" thickBot="1" x14ac:dyDescent="0.35">
      <c r="E33" t="s">
        <v>36</v>
      </c>
      <c r="G33" s="41" t="s">
        <v>36</v>
      </c>
      <c r="H33" s="42"/>
    </row>
    <row r="34" spans="5:8" x14ac:dyDescent="0.3">
      <c r="G34" s="23" t="s">
        <v>28</v>
      </c>
      <c r="H34" s="27">
        <f>0.35*C7</f>
        <v>1.9249999999999998</v>
      </c>
    </row>
    <row r="35" spans="5:8" x14ac:dyDescent="0.3">
      <c r="G35" s="28" t="s">
        <v>37</v>
      </c>
      <c r="H35" s="29">
        <f>0.25*General!C8</f>
        <v>8.875</v>
      </c>
    </row>
    <row r="36" spans="5:8" ht="15" thickBot="1" x14ac:dyDescent="0.35">
      <c r="G36" s="24" t="s">
        <v>38</v>
      </c>
      <c r="H36" s="26">
        <f>0.25*General!C8</f>
        <v>8.875</v>
      </c>
    </row>
  </sheetData>
  <mergeCells count="7">
    <mergeCell ref="G33:H33"/>
    <mergeCell ref="G25:H25"/>
    <mergeCell ref="D4:F4"/>
    <mergeCell ref="G7:H7"/>
    <mergeCell ref="B5:C5"/>
    <mergeCell ref="G15:H15"/>
    <mergeCell ref="G20:H20"/>
  </mergeCells>
  <pageMargins left="0.7" right="0.7" top="0.75" bottom="0.75" header="0.3" footer="0.3"/>
  <pageSetup paperSize="9" scale="5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NOTICE</vt:lpstr>
      <vt:lpstr>General</vt:lpstr>
      <vt:lpstr>Roll period - Inertia</vt:lpstr>
      <vt:lpstr>General!Zone_d_impression</vt:lpstr>
    </vt:vector>
  </TitlesOfParts>
  <Company>Sogreah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DEMENET Pierre-François</cp:lastModifiedBy>
  <cp:lastPrinted>2024-12-09T14:01:25Z</cp:lastPrinted>
  <dcterms:created xsi:type="dcterms:W3CDTF">2011-01-15T18:01:03Z</dcterms:created>
  <dcterms:modified xsi:type="dcterms:W3CDTF">2025-03-04T15:28:00Z</dcterms:modified>
</cp:coreProperties>
</file>